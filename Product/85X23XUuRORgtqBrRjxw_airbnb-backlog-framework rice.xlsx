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aturalapati_microsoft_com/Documents/Product Management/MU PGP/PM101/"/>
    </mc:Choice>
  </mc:AlternateContent>
  <xr:revisionPtr revIDLastSave="0" documentId="8_{815F721A-5BE6-4FFC-B013-B4E27A19288F}" xr6:coauthVersionLast="47" xr6:coauthVersionMax="47" xr10:uidLastSave="{00000000-0000-0000-0000-000000000000}"/>
  <bookViews>
    <workbookView xWindow="-110" yWindow="-110" windowWidth="23260" windowHeight="14860" tabRatio="500" activeTab="1" xr2:uid="{00000000-000D-0000-FFFF-FFFF00000000}"/>
  </bookViews>
  <sheets>
    <sheet name="Instructions" sheetId="1" r:id="rId1"/>
    <sheet name="Back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1" i="2" l="1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</calcChain>
</file>

<file path=xl/sharedStrings.xml><?xml version="1.0" encoding="utf-8"?>
<sst xmlns="http://schemas.openxmlformats.org/spreadsheetml/2006/main" count="236" uniqueCount="184">
  <si>
    <t>Airbnb 0-to-1 Backlog — RICE Prioritization Exercise</t>
  </si>
  <si>
    <t>PM101 · Session 4 · Prioritization Workshop</t>
  </si>
  <si>
    <t>What you're doing</t>
  </si>
  <si>
    <t>This is a backlog of 50 features across 8 epics for an early-stage, pre-product-market-fit Airbnb. Nothing is scored yet. Your job is to estimate Reach, Impact, Confidence, and Effort for each feature on the 'Backlog' tab — the RICE Score and Priority Rank columns will calculate themselves.</t>
  </si>
  <si>
    <t>RICE formula</t>
  </si>
  <si>
    <t>RICE Score = (Reach x Impact x Confidence) / Effort</t>
  </si>
  <si>
    <t>Column legend</t>
  </si>
  <si>
    <t>Reach</t>
  </si>
  <si>
    <t>How many users/bookings this touches in a fixed period (e.g. per month). Enter any positive number — pick a consistent unit across the whole sheet.</t>
  </si>
  <si>
    <t>You estimate — yellow cell</t>
  </si>
  <si>
    <t>Impact</t>
  </si>
  <si>
    <t>Per-user effect. Use the standard scale: 3 = massive, 2 = high, 1 = medium, 0.5 = low, 0.25 = minimal.</t>
  </si>
  <si>
    <t>Confidence</t>
  </si>
  <si>
    <t>How sure you are about your Reach/Impact guesses. Enter as a percentage, e.g. 80%.</t>
  </si>
  <si>
    <t>Effort</t>
  </si>
  <si>
    <t>Estimated person-months to build and ship.</t>
  </si>
  <si>
    <t>RICE Score</t>
  </si>
  <si>
    <t>(Reach x Impact x Confidence) / Effort — calculates automatically.</t>
  </si>
  <si>
    <t>Formula — do not edit</t>
  </si>
  <si>
    <t>Priority Rank</t>
  </si>
  <si>
    <t>Rank of this feature's RICE score against the other 49 — calculates automatically.</t>
  </si>
  <si>
    <t>Row 2 is a worked example (Professional photography for listings) — everything else is blank for you to score.</t>
  </si>
  <si>
    <t>ID</t>
  </si>
  <si>
    <t>Epic</t>
  </si>
  <si>
    <t>Feature</t>
  </si>
  <si>
    <t>Description</t>
  </si>
  <si>
    <t>F1</t>
  </si>
  <si>
    <t>Listings &amp; Host Onboarding</t>
  </si>
  <si>
    <t>Basic listing creation form</t>
  </si>
  <si>
    <t>Title, description, price, and address fields to publish a listing</t>
  </si>
  <si>
    <t>F2</t>
  </si>
  <si>
    <t>Upload up to 5 photos per listing</t>
  </si>
  <si>
    <t>Hosts add photos to their listing page</t>
  </si>
  <si>
    <t>F3</t>
  </si>
  <si>
    <t>Professional photography assistance program</t>
  </si>
  <si>
    <t>Company arranges/shoots professional photos for hosts</t>
  </si>
  <si>
    <t>F4</t>
  </si>
  <si>
    <t>Host availability calendar</t>
  </si>
  <si>
    <t>Hosts block or unblock dates when the space is unavailable</t>
  </si>
  <si>
    <t>F5</t>
  </si>
  <si>
    <t>Pricing suggestion tool</t>
  </si>
  <si>
    <t>Suggests a nightly price based on comparable nearby listings</t>
  </si>
  <si>
    <t>F6</t>
  </si>
  <si>
    <t>House rules and amenities checklist</t>
  </si>
  <si>
    <t>Structured checklist hosts fill in for their listing</t>
  </si>
  <si>
    <t>F7</t>
  </si>
  <si>
    <t>Host onboarding tutorial</t>
  </si>
  <si>
    <t>Step-by-step walkthrough shown on a host's first login</t>
  </si>
  <si>
    <t>F8</t>
  </si>
  <si>
    <t>Search &amp; Discovery</t>
  </si>
  <si>
    <t>Keyword search by city/neighborhood</t>
  </si>
  <si>
    <t>Guests search listings by typing a location</t>
  </si>
  <si>
    <t>F9</t>
  </si>
  <si>
    <t>Filter by price range</t>
  </si>
  <si>
    <t>Guests narrow results using a min/max price slider</t>
  </si>
  <si>
    <t>F10</t>
  </si>
  <si>
    <t>Filter by guests/bedrooms</t>
  </si>
  <si>
    <t>Guests narrow results by number of guests or bedrooms</t>
  </si>
  <si>
    <t>F11</t>
  </si>
  <si>
    <t>Map view of listings</t>
  </si>
  <si>
    <t>Search results shown as pins on a map</t>
  </si>
  <si>
    <t>F12</t>
  </si>
  <si>
    <t>Sort by price or distance</t>
  </si>
  <si>
    <t>Guests reorder search results</t>
  </si>
  <si>
    <t>F13</t>
  </si>
  <si>
    <t>"Similar listings" recommendations</t>
  </si>
  <si>
    <t>Related listings shown on a listing's detail page</t>
  </si>
  <si>
    <t>F14</t>
  </si>
  <si>
    <t>Save/favorite a listing</t>
  </si>
  <si>
    <t>Guests bookmark a listing to revisit later</t>
  </si>
  <si>
    <t>F15</t>
  </si>
  <si>
    <t>Booking &amp; Reservations</t>
  </si>
  <si>
    <t>Instant booking request submission</t>
  </si>
  <si>
    <t>Guest submits a request to book specific dates</t>
  </si>
  <si>
    <t>F16</t>
  </si>
  <si>
    <t>Host approve/decline flow</t>
  </si>
  <si>
    <t>Host reviews and responds to a booking request</t>
  </si>
  <si>
    <t>F17</t>
  </si>
  <si>
    <t>Booking confirmation email</t>
  </si>
  <si>
    <t>Automated email sent to guest and host once confirmed</t>
  </si>
  <si>
    <t>F18</t>
  </si>
  <si>
    <t>Cancellation policy selection</t>
  </si>
  <si>
    <t>Hosts choose a cancellation policy for their listing</t>
  </si>
  <si>
    <t>F19</t>
  </si>
  <si>
    <t>Guest cancellation with refund calc</t>
  </si>
  <si>
    <t>Guest cancels a booking and sees the applicable refund</t>
  </si>
  <si>
    <t>F20</t>
  </si>
  <si>
    <t>Calendar sync to prevent double-booking</t>
  </si>
  <si>
    <t>Blocks a date once it's booked so it can't be booked twice</t>
  </si>
  <si>
    <t>F21</t>
  </si>
  <si>
    <t>Multi-night discount pricing</t>
  </si>
  <si>
    <t>Hosts set discounts for weekly/monthly stays</t>
  </si>
  <si>
    <t>F22</t>
  </si>
  <si>
    <t>Payments &amp; Payouts</t>
  </si>
  <si>
    <t>Online credit card payment at booking</t>
  </si>
  <si>
    <t>Guest pays by card directly in the product</t>
  </si>
  <si>
    <t>F23</t>
  </si>
  <si>
    <t>Automatic host payout after check-in</t>
  </si>
  <si>
    <t>Funds released to host once the guest has checked in</t>
  </si>
  <si>
    <t>F24</t>
  </si>
  <si>
    <t>Split payment for group bookings</t>
  </si>
  <si>
    <t>Multiple guests on one booking each pay their share</t>
  </si>
  <si>
    <t>F25</t>
  </si>
  <si>
    <t>Currency conversion for international guests</t>
  </si>
  <si>
    <t>Prices shown converted to the guest's local currency</t>
  </si>
  <si>
    <t>F26</t>
  </si>
  <si>
    <t>Refund processing for cancellations</t>
  </si>
  <si>
    <t>Automated refund issued per the cancellation policy</t>
  </si>
  <si>
    <t>F27</t>
  </si>
  <si>
    <t>Host earnings dashboard</t>
  </si>
  <si>
    <t>Summary view of a host's past and upcoming payouts</t>
  </si>
  <si>
    <t>F28</t>
  </si>
  <si>
    <t>Security deposit hold and release</t>
  </si>
  <si>
    <t>A deposit is held at booking and released after checkout</t>
  </si>
  <si>
    <t>F29</t>
  </si>
  <si>
    <t>Trust, Safety &amp; Verification</t>
  </si>
  <si>
    <t>Government ID verification for guests</t>
  </si>
  <si>
    <t>Guests upload a government ID before booking</t>
  </si>
  <si>
    <t>F30</t>
  </si>
  <si>
    <t>Host identity verification badge</t>
  </si>
  <si>
    <t>Verified hosts display a badge on their listing</t>
  </si>
  <si>
    <t>F31</t>
  </si>
  <si>
    <t>In-app reporting for suspicious listings</t>
  </si>
  <si>
    <t>Users flag a listing that looks fraudulent or unsafe</t>
  </si>
  <si>
    <t>F32</t>
  </si>
  <si>
    <t>$50K Host Guarantee</t>
  </si>
  <si>
    <t>Company-backed property damage protection for hosts</t>
  </si>
  <si>
    <t>F33</t>
  </si>
  <si>
    <t>24/7 emergency support hotline</t>
  </si>
  <si>
    <t>Phone line for urgent safety issues during a stay</t>
  </si>
  <si>
    <t>F34</t>
  </si>
  <si>
    <t>Photo verification of listing accuracy</t>
  </si>
  <si>
    <t>Confirms uploaded photos match the actual space</t>
  </si>
  <si>
    <t>F35</t>
  </si>
  <si>
    <t>Guest background/screening check</t>
  </si>
  <si>
    <t>Basic screening run before a booking is confirmed</t>
  </si>
  <si>
    <t>F36</t>
  </si>
  <si>
    <t>Host-Guest Communication</t>
  </si>
  <si>
    <t>In-app messaging</t>
  </si>
  <si>
    <t>Hosts and guests message each other inside the product</t>
  </si>
  <si>
    <t>F37</t>
  </si>
  <si>
    <t>Automated pre-arrival check-in instructions</t>
  </si>
  <si>
    <t>Guest automatically receives check-in details before arrival</t>
  </si>
  <si>
    <t>F38</t>
  </si>
  <si>
    <t>New message notification</t>
  </si>
  <si>
    <t>Push/email alert when a new message arrives</t>
  </si>
  <si>
    <t>F39</t>
  </si>
  <si>
    <t>Quick-reply templates for hosts</t>
  </si>
  <si>
    <t>Pre-written responses to common guest questions</t>
  </si>
  <si>
    <t>F40</t>
  </si>
  <si>
    <t>Message translation</t>
  </si>
  <si>
    <t>Messages auto-translated for international guests</t>
  </si>
  <si>
    <t>F41</t>
  </si>
  <si>
    <t>Reviews &amp; Reputation</t>
  </si>
  <si>
    <t>Guest-to-host review</t>
  </si>
  <si>
    <t>Guest reviews the host/listing after checkout</t>
  </si>
  <si>
    <t>F42</t>
  </si>
  <si>
    <t>Host-to-guest review</t>
  </si>
  <si>
    <t>Host reviews the guest after checkout</t>
  </si>
  <si>
    <t>F43</t>
  </si>
  <si>
    <t>Star rating breakdown</t>
  </si>
  <si>
    <t>Separate ratings for cleanliness, communication, accuracy</t>
  </si>
  <si>
    <t>F44</t>
  </si>
  <si>
    <t>Public review count/average on listing</t>
  </si>
  <si>
    <t>Review summary displayed on the listing page</t>
  </si>
  <si>
    <t>F45</t>
  </si>
  <si>
    <t>Host response to a review</t>
  </si>
  <si>
    <t>Hosts can publicly reply to a guest's review</t>
  </si>
  <si>
    <t>F46</t>
  </si>
  <si>
    <t>Growth, Referral &amp; Support</t>
  </si>
  <si>
    <t>Refer-a-friend credit program</t>
  </si>
  <si>
    <t>Users get credit for referring a new host or guest</t>
  </si>
  <si>
    <t>F47</t>
  </si>
  <si>
    <t>Social sharing button for listings</t>
  </si>
  <si>
    <t>Share a listing link to social media or messaging apps</t>
  </si>
  <si>
    <t>F48</t>
  </si>
  <si>
    <t>Help center / FAQ page</t>
  </si>
  <si>
    <t>Self-serve support articles for common questions</t>
  </si>
  <si>
    <t>F49</t>
  </si>
  <si>
    <t>Live chat customer support widget</t>
  </si>
  <si>
    <t>Guests/hosts chat with support directly in the app</t>
  </si>
  <si>
    <t>F50</t>
  </si>
  <si>
    <t>Email re-engagement for inactive hosts</t>
  </si>
  <si>
    <t>Automated email nudging dormant hosts to relist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</si>
</sst>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4C1D95"/>
      <name val="Arial"/>
      <charset val="1"/>
    </font>
    <font>
      <i/>
      <sz val="11"/>
      <color rgb="FF6B7280"/>
      <name val="Arial"/>
      <charset val="1"/>
    </font>
    <font>
      <b/>
      <sz val="12"/>
      <color rgb="FF4C1D95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color rgb="FF6B7280"/>
      <name val="Arial"/>
      <charset val="1"/>
    </font>
    <font>
      <i/>
      <sz val="11"/>
      <color rgb="FF4C1D95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6D28D9"/>
        <bgColor rgb="FF4C1D95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topLeftCell="A9" zoomScale="130" zoomScaleNormal="100" workbookViewId="0">
      <selection activeCell="C15" sqref="C15:F15"/>
    </sheetView>
  </sheetViews>
  <sheetFormatPr defaultColWidth="8.6328125" defaultRowHeight="14.5" x14ac:dyDescent="0.35"/>
  <cols>
    <col min="1" max="1" width="2" customWidth="1"/>
    <col min="2" max="2" width="16" customWidth="1"/>
    <col min="3" max="8" width="14" customWidth="1"/>
  </cols>
  <sheetData>
    <row r="2" spans="2:8" ht="20" x14ac:dyDescent="0.4">
      <c r="B2" s="3" t="s">
        <v>0</v>
      </c>
    </row>
    <row r="3" spans="2:8" x14ac:dyDescent="0.35">
      <c r="B3" s="4" t="s">
        <v>1</v>
      </c>
    </row>
    <row r="5" spans="2:8" ht="15.5" x14ac:dyDescent="0.35">
      <c r="B5" s="5" t="s">
        <v>2</v>
      </c>
    </row>
    <row r="6" spans="2:8" ht="54.75" customHeight="1" x14ac:dyDescent="0.35">
      <c r="B6" s="2" t="s">
        <v>3</v>
      </c>
      <c r="C6" s="2"/>
      <c r="D6" s="2"/>
      <c r="E6" s="2"/>
      <c r="F6" s="2"/>
      <c r="G6" s="2"/>
      <c r="H6" s="2"/>
    </row>
    <row r="8" spans="2:8" ht="15.5" x14ac:dyDescent="0.35">
      <c r="B8" s="5" t="s">
        <v>4</v>
      </c>
    </row>
    <row r="9" spans="2:8" x14ac:dyDescent="0.35">
      <c r="B9" s="6" t="s">
        <v>5</v>
      </c>
    </row>
    <row r="11" spans="2:8" ht="15.5" x14ac:dyDescent="0.35">
      <c r="B11" s="5" t="s">
        <v>6</v>
      </c>
    </row>
    <row r="12" spans="2:8" ht="39.75" customHeight="1" x14ac:dyDescent="0.35">
      <c r="B12" s="13" t="s">
        <v>7</v>
      </c>
      <c r="C12" s="14" t="s">
        <v>8</v>
      </c>
      <c r="D12" s="14"/>
      <c r="E12" s="14"/>
      <c r="F12" s="14"/>
      <c r="G12" s="15" t="s">
        <v>9</v>
      </c>
      <c r="H12" s="15"/>
    </row>
    <row r="13" spans="2:8" ht="39.75" customHeight="1" x14ac:dyDescent="0.35">
      <c r="B13" s="13" t="s">
        <v>10</v>
      </c>
      <c r="C13" s="14" t="s">
        <v>11</v>
      </c>
      <c r="D13" s="14"/>
      <c r="E13" s="14"/>
      <c r="F13" s="14"/>
      <c r="G13" s="15" t="s">
        <v>9</v>
      </c>
      <c r="H13" s="15"/>
    </row>
    <row r="14" spans="2:8" ht="39.75" customHeight="1" x14ac:dyDescent="0.35">
      <c r="B14" s="13" t="s">
        <v>12</v>
      </c>
      <c r="C14" s="14" t="s">
        <v>13</v>
      </c>
      <c r="D14" s="14"/>
      <c r="E14" s="14"/>
      <c r="F14" s="14"/>
      <c r="G14" s="15" t="s">
        <v>9</v>
      </c>
      <c r="H14" s="15"/>
    </row>
    <row r="15" spans="2:8" ht="39.75" customHeight="1" x14ac:dyDescent="0.35">
      <c r="B15" s="13" t="s">
        <v>14</v>
      </c>
      <c r="C15" s="14" t="s">
        <v>15</v>
      </c>
      <c r="D15" s="14"/>
      <c r="E15" s="14"/>
      <c r="F15" s="14"/>
      <c r="G15" s="15" t="s">
        <v>9</v>
      </c>
      <c r="H15" s="15"/>
    </row>
    <row r="16" spans="2:8" ht="39.75" customHeight="1" x14ac:dyDescent="0.35">
      <c r="B16" s="13" t="s">
        <v>16</v>
      </c>
      <c r="C16" s="14" t="s">
        <v>17</v>
      </c>
      <c r="D16" s="14"/>
      <c r="E16" s="14"/>
      <c r="F16" s="14"/>
      <c r="G16" s="15" t="s">
        <v>18</v>
      </c>
      <c r="H16" s="15"/>
    </row>
    <row r="17" spans="2:8" ht="39.75" customHeight="1" x14ac:dyDescent="0.35">
      <c r="B17" s="13" t="s">
        <v>19</v>
      </c>
      <c r="C17" s="14" t="s">
        <v>20</v>
      </c>
      <c r="D17" s="14"/>
      <c r="E17" s="14"/>
      <c r="F17" s="14"/>
      <c r="G17" s="15" t="s">
        <v>18</v>
      </c>
      <c r="H17" s="15"/>
    </row>
    <row r="19" spans="2:8" x14ac:dyDescent="0.35">
      <c r="B19" s="1" t="s">
        <v>21</v>
      </c>
      <c r="C19" s="1"/>
      <c r="D19" s="1"/>
      <c r="E19" s="1"/>
      <c r="F19" s="1"/>
      <c r="G19" s="1"/>
      <c r="H19" s="1"/>
    </row>
  </sheetData>
  <mergeCells count="14">
    <mergeCell ref="C17:F17"/>
    <mergeCell ref="G17:H17"/>
    <mergeCell ref="B19:H19"/>
    <mergeCell ref="C14:F14"/>
    <mergeCell ref="G14:H14"/>
    <mergeCell ref="C15:F15"/>
    <mergeCell ref="G15:H15"/>
    <mergeCell ref="C16:F16"/>
    <mergeCell ref="G16:H16"/>
    <mergeCell ref="B6:H6"/>
    <mergeCell ref="C12:F12"/>
    <mergeCell ref="G12:H12"/>
    <mergeCell ref="C13:F13"/>
    <mergeCell ref="G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showGridLines="0" tabSelected="1" zoomScaleNormal="100" workbookViewId="0">
      <pane ySplit="1" topLeftCell="A2" activePane="bottomLeft" state="frozen"/>
      <selection pane="bottomLeft" activeCell="D4" sqref="D4"/>
    </sheetView>
  </sheetViews>
  <sheetFormatPr defaultColWidth="8.6328125" defaultRowHeight="14.5" x14ac:dyDescent="0.35"/>
  <cols>
    <col min="1" max="1" width="6" customWidth="1"/>
    <col min="2" max="2" width="26" customWidth="1"/>
    <col min="3" max="3" width="32" customWidth="1"/>
    <col min="4" max="4" width="46" customWidth="1"/>
    <col min="5" max="6" width="10" customWidth="1"/>
    <col min="7" max="7" width="12" customWidth="1"/>
    <col min="8" max="8" width="10" customWidth="1"/>
    <col min="9" max="9" width="12" customWidth="1"/>
    <col min="10" max="10" width="13" customWidth="1"/>
  </cols>
  <sheetData>
    <row r="1" spans="1:10" ht="30" customHeight="1" x14ac:dyDescent="0.35">
      <c r="A1" s="7" t="s">
        <v>22</v>
      </c>
      <c r="B1" s="7" t="s">
        <v>23</v>
      </c>
      <c r="C1" s="7" t="s">
        <v>24</v>
      </c>
      <c r="D1" s="7" t="s">
        <v>25</v>
      </c>
      <c r="E1" s="7" t="s">
        <v>7</v>
      </c>
      <c r="F1" s="7" t="s">
        <v>10</v>
      </c>
      <c r="G1" s="7" t="s">
        <v>12</v>
      </c>
      <c r="H1" s="7" t="s">
        <v>14</v>
      </c>
      <c r="I1" s="7" t="s">
        <v>16</v>
      </c>
      <c r="J1" s="7" t="s">
        <v>19</v>
      </c>
    </row>
    <row r="2" spans="1:10" ht="33.75" customHeight="1" x14ac:dyDescent="0.35">
      <c r="A2" s="8" t="s">
        <v>26</v>
      </c>
      <c r="B2" s="8" t="s">
        <v>27</v>
      </c>
      <c r="C2" s="8" t="s">
        <v>28</v>
      </c>
      <c r="D2" s="8" t="s">
        <v>29</v>
      </c>
      <c r="E2" s="9">
        <v>4</v>
      </c>
      <c r="F2" s="9">
        <v>3</v>
      </c>
      <c r="G2" s="10">
        <v>0.9</v>
      </c>
      <c r="H2" s="9">
        <v>1</v>
      </c>
      <c r="I2" s="11">
        <f t="shared" ref="I2:I33" si="0">IFERROR((E2*F2*G2)/H2,"")</f>
        <v>10.8</v>
      </c>
      <c r="J2" s="12">
        <f t="shared" ref="J2:J33" si="1">IFERROR(RANK(I2,$I$2:$I$51,0),"")</f>
        <v>1</v>
      </c>
    </row>
    <row r="3" spans="1:10" ht="33.75" customHeight="1" x14ac:dyDescent="0.35">
      <c r="A3" s="8" t="s">
        <v>30</v>
      </c>
      <c r="B3" s="8" t="s">
        <v>27</v>
      </c>
      <c r="C3" s="8" t="s">
        <v>31</v>
      </c>
      <c r="D3" s="8" t="s">
        <v>32</v>
      </c>
      <c r="E3" s="9"/>
      <c r="F3" s="9"/>
      <c r="G3" s="10"/>
      <c r="H3" s="9"/>
      <c r="I3" s="11" t="str">
        <f t="shared" si="0"/>
        <v/>
      </c>
      <c r="J3" s="12" t="str">
        <f t="shared" si="1"/>
        <v/>
      </c>
    </row>
    <row r="4" spans="1:10" ht="33.75" customHeight="1" x14ac:dyDescent="0.35">
      <c r="A4" s="8" t="s">
        <v>33</v>
      </c>
      <c r="B4" s="8" t="s">
        <v>27</v>
      </c>
      <c r="C4" s="8" t="s">
        <v>34</v>
      </c>
      <c r="D4" s="8" t="s">
        <v>35</v>
      </c>
      <c r="E4" s="9"/>
      <c r="F4" s="9"/>
      <c r="G4" s="10"/>
      <c r="H4" s="9"/>
      <c r="I4" s="11" t="str">
        <f t="shared" si="0"/>
        <v/>
      </c>
      <c r="J4" s="12" t="str">
        <f t="shared" si="1"/>
        <v/>
      </c>
    </row>
    <row r="5" spans="1:10" ht="33.75" customHeight="1" x14ac:dyDescent="0.35">
      <c r="A5" s="8" t="s">
        <v>36</v>
      </c>
      <c r="B5" s="8" t="s">
        <v>27</v>
      </c>
      <c r="C5" s="8" t="s">
        <v>37</v>
      </c>
      <c r="D5" s="8" t="s">
        <v>38</v>
      </c>
      <c r="E5" s="9"/>
      <c r="F5" s="9"/>
      <c r="G5" s="10"/>
      <c r="H5" s="9"/>
      <c r="I5" s="11" t="str">
        <f t="shared" si="0"/>
        <v/>
      </c>
      <c r="J5" s="12" t="str">
        <f t="shared" si="1"/>
        <v/>
      </c>
    </row>
    <row r="6" spans="1:10" ht="33.75" customHeight="1" x14ac:dyDescent="0.35">
      <c r="A6" s="8" t="s">
        <v>39</v>
      </c>
      <c r="B6" s="8" t="s">
        <v>27</v>
      </c>
      <c r="C6" s="8" t="s">
        <v>40</v>
      </c>
      <c r="D6" s="8" t="s">
        <v>41</v>
      </c>
      <c r="E6" s="9"/>
      <c r="F6" s="9"/>
      <c r="G6" s="10"/>
      <c r="H6" s="9"/>
      <c r="I6" s="11" t="str">
        <f t="shared" si="0"/>
        <v/>
      </c>
      <c r="J6" s="12" t="str">
        <f t="shared" si="1"/>
        <v/>
      </c>
    </row>
    <row r="7" spans="1:10" ht="33.75" customHeight="1" x14ac:dyDescent="0.35">
      <c r="A7" s="8" t="s">
        <v>42</v>
      </c>
      <c r="B7" s="8" t="s">
        <v>27</v>
      </c>
      <c r="C7" s="8" t="s">
        <v>43</v>
      </c>
      <c r="D7" s="8" t="s">
        <v>44</v>
      </c>
      <c r="E7" s="9"/>
      <c r="F7" s="9"/>
      <c r="G7" s="10"/>
      <c r="H7" s="9"/>
      <c r="I7" s="11" t="str">
        <f t="shared" si="0"/>
        <v/>
      </c>
      <c r="J7" s="12" t="str">
        <f t="shared" si="1"/>
        <v/>
      </c>
    </row>
    <row r="8" spans="1:10" ht="33.75" customHeight="1" x14ac:dyDescent="0.35">
      <c r="A8" s="8" t="s">
        <v>45</v>
      </c>
      <c r="B8" s="8" t="s">
        <v>27</v>
      </c>
      <c r="C8" s="8" t="s">
        <v>46</v>
      </c>
      <c r="D8" s="8" t="s">
        <v>47</v>
      </c>
      <c r="E8" s="9"/>
      <c r="F8" s="9"/>
      <c r="G8" s="10"/>
      <c r="H8" s="9"/>
      <c r="I8" s="11" t="str">
        <f t="shared" si="0"/>
        <v/>
      </c>
      <c r="J8" s="12" t="str">
        <f t="shared" si="1"/>
        <v/>
      </c>
    </row>
    <row r="9" spans="1:10" ht="33.75" customHeight="1" x14ac:dyDescent="0.35">
      <c r="A9" s="8" t="s">
        <v>48</v>
      </c>
      <c r="B9" s="8" t="s">
        <v>49</v>
      </c>
      <c r="C9" s="8" t="s">
        <v>50</v>
      </c>
      <c r="D9" s="8" t="s">
        <v>51</v>
      </c>
      <c r="E9" s="9"/>
      <c r="F9" s="9"/>
      <c r="G9" s="10"/>
      <c r="H9" s="9"/>
      <c r="I9" s="11" t="str">
        <f t="shared" si="0"/>
        <v/>
      </c>
      <c r="J9" s="12" t="str">
        <f t="shared" si="1"/>
        <v/>
      </c>
    </row>
    <row r="10" spans="1:10" ht="33.75" customHeight="1" x14ac:dyDescent="0.35">
      <c r="A10" s="8" t="s">
        <v>52</v>
      </c>
      <c r="B10" s="8" t="s">
        <v>49</v>
      </c>
      <c r="C10" s="8" t="s">
        <v>53</v>
      </c>
      <c r="D10" s="8" t="s">
        <v>54</v>
      </c>
      <c r="E10" s="9"/>
      <c r="F10" s="9"/>
      <c r="G10" s="10"/>
      <c r="H10" s="9"/>
      <c r="I10" s="11" t="str">
        <f t="shared" si="0"/>
        <v/>
      </c>
      <c r="J10" s="12" t="str">
        <f t="shared" si="1"/>
        <v/>
      </c>
    </row>
    <row r="11" spans="1:10" ht="33.75" customHeight="1" x14ac:dyDescent="0.35">
      <c r="A11" s="8" t="s">
        <v>55</v>
      </c>
      <c r="B11" s="8" t="s">
        <v>49</v>
      </c>
      <c r="C11" s="8" t="s">
        <v>56</v>
      </c>
      <c r="D11" s="8" t="s">
        <v>57</v>
      </c>
      <c r="E11" s="9"/>
      <c r="F11" s="9"/>
      <c r="G11" s="10"/>
      <c r="H11" s="9"/>
      <c r="I11" s="11" t="str">
        <f t="shared" si="0"/>
        <v/>
      </c>
      <c r="J11" s="12" t="str">
        <f t="shared" si="1"/>
        <v/>
      </c>
    </row>
    <row r="12" spans="1:10" ht="33.75" customHeight="1" x14ac:dyDescent="0.35">
      <c r="A12" s="8" t="s">
        <v>58</v>
      </c>
      <c r="B12" s="8" t="s">
        <v>49</v>
      </c>
      <c r="C12" s="8" t="s">
        <v>59</v>
      </c>
      <c r="D12" s="8" t="s">
        <v>60</v>
      </c>
      <c r="E12" s="9"/>
      <c r="F12" s="9"/>
      <c r="G12" s="10"/>
      <c r="H12" s="9"/>
      <c r="I12" s="11" t="str">
        <f t="shared" si="0"/>
        <v/>
      </c>
      <c r="J12" s="12" t="str">
        <f t="shared" si="1"/>
        <v/>
      </c>
    </row>
    <row r="13" spans="1:10" ht="33.75" customHeight="1" x14ac:dyDescent="0.35">
      <c r="A13" s="8" t="s">
        <v>61</v>
      </c>
      <c r="B13" s="8" t="s">
        <v>49</v>
      </c>
      <c r="C13" s="8" t="s">
        <v>62</v>
      </c>
      <c r="D13" s="8" t="s">
        <v>63</v>
      </c>
      <c r="E13" s="9"/>
      <c r="F13" s="9"/>
      <c r="G13" s="10"/>
      <c r="H13" s="9"/>
      <c r="I13" s="11" t="str">
        <f t="shared" si="0"/>
        <v/>
      </c>
      <c r="J13" s="12" t="str">
        <f t="shared" si="1"/>
        <v/>
      </c>
    </row>
    <row r="14" spans="1:10" ht="33.75" customHeight="1" x14ac:dyDescent="0.35">
      <c r="A14" s="8" t="s">
        <v>64</v>
      </c>
      <c r="B14" s="8" t="s">
        <v>49</v>
      </c>
      <c r="C14" s="8" t="s">
        <v>65</v>
      </c>
      <c r="D14" s="8" t="s">
        <v>66</v>
      </c>
      <c r="E14" s="9"/>
      <c r="F14" s="9"/>
      <c r="G14" s="10"/>
      <c r="H14" s="9"/>
      <c r="I14" s="11" t="str">
        <f t="shared" si="0"/>
        <v/>
      </c>
      <c r="J14" s="12" t="str">
        <f t="shared" si="1"/>
        <v/>
      </c>
    </row>
    <row r="15" spans="1:10" ht="33.75" customHeight="1" x14ac:dyDescent="0.35">
      <c r="A15" s="8" t="s">
        <v>67</v>
      </c>
      <c r="B15" s="8" t="s">
        <v>49</v>
      </c>
      <c r="C15" s="8" t="s">
        <v>68</v>
      </c>
      <c r="D15" s="8" t="s">
        <v>69</v>
      </c>
      <c r="E15" s="9"/>
      <c r="F15" s="9"/>
      <c r="G15" s="10"/>
      <c r="H15" s="9"/>
      <c r="I15" s="11" t="str">
        <f t="shared" si="0"/>
        <v/>
      </c>
      <c r="J15" s="12" t="str">
        <f t="shared" si="1"/>
        <v/>
      </c>
    </row>
    <row r="16" spans="1:10" ht="33.75" customHeight="1" x14ac:dyDescent="0.35">
      <c r="A16" s="8" t="s">
        <v>70</v>
      </c>
      <c r="B16" s="8" t="s">
        <v>71</v>
      </c>
      <c r="C16" s="8" t="s">
        <v>72</v>
      </c>
      <c r="D16" s="8" t="s">
        <v>73</v>
      </c>
      <c r="E16" s="9"/>
      <c r="F16" s="9"/>
      <c r="G16" s="10"/>
      <c r="H16" s="9"/>
      <c r="I16" s="11" t="str">
        <f t="shared" si="0"/>
        <v/>
      </c>
      <c r="J16" s="12" t="str">
        <f t="shared" si="1"/>
        <v/>
      </c>
    </row>
    <row r="17" spans="1:10" ht="33.75" customHeight="1" x14ac:dyDescent="0.35">
      <c r="A17" s="8" t="s">
        <v>74</v>
      </c>
      <c r="B17" s="8" t="s">
        <v>71</v>
      </c>
      <c r="C17" s="8" t="s">
        <v>75</v>
      </c>
      <c r="D17" s="8" t="s">
        <v>76</v>
      </c>
      <c r="E17" s="9"/>
      <c r="F17" s="9"/>
      <c r="G17" s="10"/>
      <c r="H17" s="9"/>
      <c r="I17" s="11" t="str">
        <f t="shared" si="0"/>
        <v/>
      </c>
      <c r="J17" s="12" t="str">
        <f t="shared" si="1"/>
        <v/>
      </c>
    </row>
    <row r="18" spans="1:10" ht="33.75" customHeight="1" x14ac:dyDescent="0.35">
      <c r="A18" s="8" t="s">
        <v>77</v>
      </c>
      <c r="B18" s="8" t="s">
        <v>71</v>
      </c>
      <c r="C18" s="8" t="s">
        <v>78</v>
      </c>
      <c r="D18" s="8" t="s">
        <v>79</v>
      </c>
      <c r="E18" s="9"/>
      <c r="F18" s="9"/>
      <c r="G18" s="10"/>
      <c r="H18" s="9"/>
      <c r="I18" s="11" t="str">
        <f t="shared" si="0"/>
        <v/>
      </c>
      <c r="J18" s="12" t="str">
        <f t="shared" si="1"/>
        <v/>
      </c>
    </row>
    <row r="19" spans="1:10" ht="33.75" customHeight="1" x14ac:dyDescent="0.35">
      <c r="A19" s="8" t="s">
        <v>80</v>
      </c>
      <c r="B19" s="8" t="s">
        <v>71</v>
      </c>
      <c r="C19" s="8" t="s">
        <v>81</v>
      </c>
      <c r="D19" s="8" t="s">
        <v>82</v>
      </c>
      <c r="E19" s="9"/>
      <c r="F19" s="9"/>
      <c r="G19" s="10"/>
      <c r="H19" s="9"/>
      <c r="I19" s="11" t="str">
        <f t="shared" si="0"/>
        <v/>
      </c>
      <c r="J19" s="12" t="str">
        <f t="shared" si="1"/>
        <v/>
      </c>
    </row>
    <row r="20" spans="1:10" ht="33.75" customHeight="1" x14ac:dyDescent="0.35">
      <c r="A20" s="8" t="s">
        <v>83</v>
      </c>
      <c r="B20" s="8" t="s">
        <v>71</v>
      </c>
      <c r="C20" s="8" t="s">
        <v>84</v>
      </c>
      <c r="D20" s="8" t="s">
        <v>85</v>
      </c>
      <c r="E20" s="9"/>
      <c r="F20" s="9"/>
      <c r="G20" s="10"/>
      <c r="H20" s="9"/>
      <c r="I20" s="11" t="str">
        <f t="shared" si="0"/>
        <v/>
      </c>
      <c r="J20" s="12" t="str">
        <f t="shared" si="1"/>
        <v/>
      </c>
    </row>
    <row r="21" spans="1:10" ht="33.75" customHeight="1" x14ac:dyDescent="0.35">
      <c r="A21" s="8" t="s">
        <v>86</v>
      </c>
      <c r="B21" s="8" t="s">
        <v>71</v>
      </c>
      <c r="C21" s="8" t="s">
        <v>87</v>
      </c>
      <c r="D21" s="8" t="s">
        <v>88</v>
      </c>
      <c r="E21" s="9"/>
      <c r="F21" s="9"/>
      <c r="G21" s="10"/>
      <c r="H21" s="9"/>
      <c r="I21" s="11" t="str">
        <f t="shared" si="0"/>
        <v/>
      </c>
      <c r="J21" s="12" t="str">
        <f t="shared" si="1"/>
        <v/>
      </c>
    </row>
    <row r="22" spans="1:10" ht="33.75" customHeight="1" x14ac:dyDescent="0.35">
      <c r="A22" s="8" t="s">
        <v>89</v>
      </c>
      <c r="B22" s="8" t="s">
        <v>71</v>
      </c>
      <c r="C22" s="8" t="s">
        <v>90</v>
      </c>
      <c r="D22" s="8" t="s">
        <v>91</v>
      </c>
      <c r="E22" s="9"/>
      <c r="F22" s="9"/>
      <c r="G22" s="10"/>
      <c r="H22" s="9"/>
      <c r="I22" s="11" t="str">
        <f t="shared" si="0"/>
        <v/>
      </c>
      <c r="J22" s="12" t="str">
        <f t="shared" si="1"/>
        <v/>
      </c>
    </row>
    <row r="23" spans="1:10" ht="33.75" customHeight="1" x14ac:dyDescent="0.35">
      <c r="A23" s="8" t="s">
        <v>92</v>
      </c>
      <c r="B23" s="8" t="s">
        <v>93</v>
      </c>
      <c r="C23" s="8" t="s">
        <v>94</v>
      </c>
      <c r="D23" s="8" t="s">
        <v>95</v>
      </c>
      <c r="E23" s="9"/>
      <c r="F23" s="9"/>
      <c r="G23" s="10"/>
      <c r="H23" s="9"/>
      <c r="I23" s="11" t="str">
        <f t="shared" si="0"/>
        <v/>
      </c>
      <c r="J23" s="12" t="str">
        <f t="shared" si="1"/>
        <v/>
      </c>
    </row>
    <row r="24" spans="1:10" ht="33.75" customHeight="1" x14ac:dyDescent="0.35">
      <c r="A24" s="8" t="s">
        <v>96</v>
      </c>
      <c r="B24" s="8" t="s">
        <v>93</v>
      </c>
      <c r="C24" s="8" t="s">
        <v>97</v>
      </c>
      <c r="D24" s="8" t="s">
        <v>98</v>
      </c>
      <c r="E24" s="9"/>
      <c r="F24" s="9"/>
      <c r="G24" s="10"/>
      <c r="H24" s="9"/>
      <c r="I24" s="11" t="str">
        <f t="shared" si="0"/>
        <v/>
      </c>
      <c r="J24" s="12" t="str">
        <f t="shared" si="1"/>
        <v/>
      </c>
    </row>
    <row r="25" spans="1:10" ht="33.75" customHeight="1" x14ac:dyDescent="0.35">
      <c r="A25" s="8" t="s">
        <v>99</v>
      </c>
      <c r="B25" s="8" t="s">
        <v>93</v>
      </c>
      <c r="C25" s="8" t="s">
        <v>100</v>
      </c>
      <c r="D25" s="8" t="s">
        <v>101</v>
      </c>
      <c r="E25" s="9"/>
      <c r="F25" s="9"/>
      <c r="G25" s="10"/>
      <c r="H25" s="9"/>
      <c r="I25" s="11" t="str">
        <f t="shared" si="0"/>
        <v/>
      </c>
      <c r="J25" s="12" t="str">
        <f t="shared" si="1"/>
        <v/>
      </c>
    </row>
    <row r="26" spans="1:10" ht="33.75" customHeight="1" x14ac:dyDescent="0.35">
      <c r="A26" s="8" t="s">
        <v>102</v>
      </c>
      <c r="B26" s="8" t="s">
        <v>93</v>
      </c>
      <c r="C26" s="8" t="s">
        <v>103</v>
      </c>
      <c r="D26" s="8" t="s">
        <v>104</v>
      </c>
      <c r="E26" s="9"/>
      <c r="F26" s="9"/>
      <c r="G26" s="10"/>
      <c r="H26" s="9"/>
      <c r="I26" s="11" t="str">
        <f t="shared" si="0"/>
        <v/>
      </c>
      <c r="J26" s="12" t="str">
        <f t="shared" si="1"/>
        <v/>
      </c>
    </row>
    <row r="27" spans="1:10" ht="33.75" customHeight="1" x14ac:dyDescent="0.35">
      <c r="A27" s="8" t="s">
        <v>105</v>
      </c>
      <c r="B27" s="8" t="s">
        <v>93</v>
      </c>
      <c r="C27" s="8" t="s">
        <v>106</v>
      </c>
      <c r="D27" s="8" t="s">
        <v>107</v>
      </c>
      <c r="E27" s="9"/>
      <c r="F27" s="9"/>
      <c r="G27" s="10"/>
      <c r="H27" s="9"/>
      <c r="I27" s="11" t="str">
        <f t="shared" si="0"/>
        <v/>
      </c>
      <c r="J27" s="12" t="str">
        <f t="shared" si="1"/>
        <v/>
      </c>
    </row>
    <row r="28" spans="1:10" ht="33.75" customHeight="1" x14ac:dyDescent="0.35">
      <c r="A28" s="8" t="s">
        <v>108</v>
      </c>
      <c r="B28" s="8" t="s">
        <v>93</v>
      </c>
      <c r="C28" s="8" t="s">
        <v>109</v>
      </c>
      <c r="D28" s="8" t="s">
        <v>110</v>
      </c>
      <c r="E28" s="9"/>
      <c r="F28" s="9"/>
      <c r="G28" s="10"/>
      <c r="H28" s="9"/>
      <c r="I28" s="11" t="str">
        <f t="shared" si="0"/>
        <v/>
      </c>
      <c r="J28" s="12" t="str">
        <f t="shared" si="1"/>
        <v/>
      </c>
    </row>
    <row r="29" spans="1:10" ht="33.75" customHeight="1" x14ac:dyDescent="0.35">
      <c r="A29" s="8" t="s">
        <v>111</v>
      </c>
      <c r="B29" s="8" t="s">
        <v>93</v>
      </c>
      <c r="C29" s="8" t="s">
        <v>112</v>
      </c>
      <c r="D29" s="8" t="s">
        <v>113</v>
      </c>
      <c r="E29" s="9"/>
      <c r="F29" s="9"/>
      <c r="G29" s="10"/>
      <c r="H29" s="9"/>
      <c r="I29" s="11" t="str">
        <f t="shared" si="0"/>
        <v/>
      </c>
      <c r="J29" s="12" t="str">
        <f t="shared" si="1"/>
        <v/>
      </c>
    </row>
    <row r="30" spans="1:10" ht="33.75" customHeight="1" x14ac:dyDescent="0.35">
      <c r="A30" s="8" t="s">
        <v>114</v>
      </c>
      <c r="B30" s="8" t="s">
        <v>115</v>
      </c>
      <c r="C30" s="8" t="s">
        <v>116</v>
      </c>
      <c r="D30" s="8" t="s">
        <v>117</v>
      </c>
      <c r="E30" s="9"/>
      <c r="F30" s="9"/>
      <c r="G30" s="10"/>
      <c r="H30" s="9"/>
      <c r="I30" s="11" t="str">
        <f t="shared" si="0"/>
        <v/>
      </c>
      <c r="J30" s="12" t="str">
        <f t="shared" si="1"/>
        <v/>
      </c>
    </row>
    <row r="31" spans="1:10" ht="33.75" customHeight="1" x14ac:dyDescent="0.35">
      <c r="A31" s="8" t="s">
        <v>118</v>
      </c>
      <c r="B31" s="8" t="s">
        <v>115</v>
      </c>
      <c r="C31" s="8" t="s">
        <v>119</v>
      </c>
      <c r="D31" s="8" t="s">
        <v>120</v>
      </c>
      <c r="E31" s="9"/>
      <c r="F31" s="9"/>
      <c r="G31" s="10"/>
      <c r="H31" s="9"/>
      <c r="I31" s="11" t="str">
        <f t="shared" si="0"/>
        <v/>
      </c>
      <c r="J31" s="12" t="str">
        <f t="shared" si="1"/>
        <v/>
      </c>
    </row>
    <row r="32" spans="1:10" ht="33.75" customHeight="1" x14ac:dyDescent="0.35">
      <c r="A32" s="8" t="s">
        <v>121</v>
      </c>
      <c r="B32" s="8" t="s">
        <v>115</v>
      </c>
      <c r="C32" s="8" t="s">
        <v>122</v>
      </c>
      <c r="D32" s="8" t="s">
        <v>123</v>
      </c>
      <c r="E32" s="9"/>
      <c r="F32" s="9"/>
      <c r="G32" s="10"/>
      <c r="H32" s="9"/>
      <c r="I32" s="11" t="str">
        <f t="shared" si="0"/>
        <v/>
      </c>
      <c r="J32" s="12" t="str">
        <f t="shared" si="1"/>
        <v/>
      </c>
    </row>
    <row r="33" spans="1:10" ht="33.75" customHeight="1" x14ac:dyDescent="0.35">
      <c r="A33" s="8" t="s">
        <v>124</v>
      </c>
      <c r="B33" s="8" t="s">
        <v>115</v>
      </c>
      <c r="C33" s="8" t="s">
        <v>125</v>
      </c>
      <c r="D33" s="8" t="s">
        <v>126</v>
      </c>
      <c r="E33" s="9"/>
      <c r="F33" s="9"/>
      <c r="G33" s="10"/>
      <c r="H33" s="9"/>
      <c r="I33" s="11" t="str">
        <f t="shared" si="0"/>
        <v/>
      </c>
      <c r="J33" s="12" t="str">
        <f t="shared" si="1"/>
        <v/>
      </c>
    </row>
    <row r="34" spans="1:10" ht="33.75" customHeight="1" x14ac:dyDescent="0.35">
      <c r="A34" s="8" t="s">
        <v>127</v>
      </c>
      <c r="B34" s="8" t="s">
        <v>115</v>
      </c>
      <c r="C34" s="8" t="s">
        <v>128</v>
      </c>
      <c r="D34" s="8" t="s">
        <v>129</v>
      </c>
      <c r="E34" s="9"/>
      <c r="F34" s="9"/>
      <c r="G34" s="10"/>
      <c r="H34" s="9"/>
      <c r="I34" s="11" t="str">
        <f t="shared" ref="I34:I65" si="2">IFERROR((E34*F34*G34)/H34,"")</f>
        <v/>
      </c>
      <c r="J34" s="12" t="str">
        <f t="shared" ref="J34:J65" si="3">IFERROR(RANK(I34,$I$2:$I$51,0),"")</f>
        <v/>
      </c>
    </row>
    <row r="35" spans="1:10" ht="33.75" customHeight="1" x14ac:dyDescent="0.35">
      <c r="A35" s="8" t="s">
        <v>130</v>
      </c>
      <c r="B35" s="8" t="s">
        <v>115</v>
      </c>
      <c r="C35" s="8" t="s">
        <v>131</v>
      </c>
      <c r="D35" s="8" t="s">
        <v>132</v>
      </c>
      <c r="E35" s="9"/>
      <c r="F35" s="9"/>
      <c r="G35" s="10"/>
      <c r="H35" s="9"/>
      <c r="I35" s="11" t="str">
        <f t="shared" si="2"/>
        <v/>
      </c>
      <c r="J35" s="12" t="str">
        <f t="shared" si="3"/>
        <v/>
      </c>
    </row>
    <row r="36" spans="1:10" ht="33.75" customHeight="1" x14ac:dyDescent="0.35">
      <c r="A36" s="8" t="s">
        <v>133</v>
      </c>
      <c r="B36" s="8" t="s">
        <v>115</v>
      </c>
      <c r="C36" s="8" t="s">
        <v>134</v>
      </c>
      <c r="D36" s="8" t="s">
        <v>135</v>
      </c>
      <c r="E36" s="9"/>
      <c r="F36" s="9"/>
      <c r="G36" s="10"/>
      <c r="H36" s="9"/>
      <c r="I36" s="11" t="str">
        <f t="shared" si="2"/>
        <v/>
      </c>
      <c r="J36" s="12" t="str">
        <f t="shared" si="3"/>
        <v/>
      </c>
    </row>
    <row r="37" spans="1:10" ht="33.75" customHeight="1" x14ac:dyDescent="0.35">
      <c r="A37" s="8" t="s">
        <v>136</v>
      </c>
      <c r="B37" s="8" t="s">
        <v>137</v>
      </c>
      <c r="C37" s="8" t="s">
        <v>138</v>
      </c>
      <c r="D37" s="8" t="s">
        <v>139</v>
      </c>
      <c r="E37" s="9"/>
      <c r="F37" s="9"/>
      <c r="G37" s="10"/>
      <c r="H37" s="9"/>
      <c r="I37" s="11" t="str">
        <f t="shared" si="2"/>
        <v/>
      </c>
      <c r="J37" s="12" t="str">
        <f t="shared" si="3"/>
        <v/>
      </c>
    </row>
    <row r="38" spans="1:10" ht="33.75" customHeight="1" x14ac:dyDescent="0.35">
      <c r="A38" s="8" t="s">
        <v>140</v>
      </c>
      <c r="B38" s="8" t="s">
        <v>137</v>
      </c>
      <c r="C38" s="8" t="s">
        <v>141</v>
      </c>
      <c r="D38" s="8" t="s">
        <v>142</v>
      </c>
      <c r="E38" s="9"/>
      <c r="F38" s="9"/>
      <c r="G38" s="10"/>
      <c r="H38" s="9"/>
      <c r="I38" s="11" t="str">
        <f t="shared" si="2"/>
        <v/>
      </c>
      <c r="J38" s="12" t="str">
        <f t="shared" si="3"/>
        <v/>
      </c>
    </row>
    <row r="39" spans="1:10" ht="33.75" customHeight="1" x14ac:dyDescent="0.35">
      <c r="A39" s="8" t="s">
        <v>143</v>
      </c>
      <c r="B39" s="8" t="s">
        <v>137</v>
      </c>
      <c r="C39" s="8" t="s">
        <v>144</v>
      </c>
      <c r="D39" s="8" t="s">
        <v>145</v>
      </c>
      <c r="E39" s="9"/>
      <c r="F39" s="9"/>
      <c r="G39" s="10"/>
      <c r="H39" s="9"/>
      <c r="I39" s="11" t="str">
        <f t="shared" si="2"/>
        <v/>
      </c>
      <c r="J39" s="12" t="str">
        <f t="shared" si="3"/>
        <v/>
      </c>
    </row>
    <row r="40" spans="1:10" ht="33.75" customHeight="1" x14ac:dyDescent="0.35">
      <c r="A40" s="8" t="s">
        <v>146</v>
      </c>
      <c r="B40" s="8" t="s">
        <v>137</v>
      </c>
      <c r="C40" s="8" t="s">
        <v>147</v>
      </c>
      <c r="D40" s="8" t="s">
        <v>148</v>
      </c>
      <c r="E40" s="9"/>
      <c r="F40" s="9"/>
      <c r="G40" s="10"/>
      <c r="H40" s="9"/>
      <c r="I40" s="11" t="str">
        <f t="shared" si="2"/>
        <v/>
      </c>
      <c r="J40" s="12" t="str">
        <f t="shared" si="3"/>
        <v/>
      </c>
    </row>
    <row r="41" spans="1:10" ht="33.75" customHeight="1" x14ac:dyDescent="0.35">
      <c r="A41" s="8" t="s">
        <v>149</v>
      </c>
      <c r="B41" s="8" t="s">
        <v>137</v>
      </c>
      <c r="C41" s="8" t="s">
        <v>150</v>
      </c>
      <c r="D41" s="8" t="s">
        <v>151</v>
      </c>
      <c r="E41" s="9"/>
      <c r="F41" s="9"/>
      <c r="G41" s="10"/>
      <c r="H41" s="9"/>
      <c r="I41" s="11" t="str">
        <f t="shared" si="2"/>
        <v/>
      </c>
      <c r="J41" s="12" t="str">
        <f t="shared" si="3"/>
        <v/>
      </c>
    </row>
    <row r="42" spans="1:10" ht="33.75" customHeight="1" x14ac:dyDescent="0.35">
      <c r="A42" s="8" t="s">
        <v>152</v>
      </c>
      <c r="B42" s="8" t="s">
        <v>153</v>
      </c>
      <c r="C42" s="8" t="s">
        <v>154</v>
      </c>
      <c r="D42" s="8" t="s">
        <v>155</v>
      </c>
      <c r="E42" s="9"/>
      <c r="F42" s="9"/>
      <c r="G42" s="10"/>
      <c r="H42" s="9"/>
      <c r="I42" s="11" t="str">
        <f t="shared" si="2"/>
        <v/>
      </c>
      <c r="J42" s="12" t="str">
        <f t="shared" si="3"/>
        <v/>
      </c>
    </row>
    <row r="43" spans="1:10" ht="33.75" customHeight="1" x14ac:dyDescent="0.35">
      <c r="A43" s="8" t="s">
        <v>156</v>
      </c>
      <c r="B43" s="8" t="s">
        <v>153</v>
      </c>
      <c r="C43" s="8" t="s">
        <v>157</v>
      </c>
      <c r="D43" s="8" t="s">
        <v>158</v>
      </c>
      <c r="E43" s="9"/>
      <c r="F43" s="9"/>
      <c r="G43" s="10"/>
      <c r="H43" s="9"/>
      <c r="I43" s="11" t="str">
        <f t="shared" si="2"/>
        <v/>
      </c>
      <c r="J43" s="12" t="str">
        <f t="shared" si="3"/>
        <v/>
      </c>
    </row>
    <row r="44" spans="1:10" ht="33.75" customHeight="1" x14ac:dyDescent="0.35">
      <c r="A44" s="8" t="s">
        <v>159</v>
      </c>
      <c r="B44" s="8" t="s">
        <v>153</v>
      </c>
      <c r="C44" s="8" t="s">
        <v>160</v>
      </c>
      <c r="D44" s="8" t="s">
        <v>161</v>
      </c>
      <c r="E44" s="9"/>
      <c r="F44" s="9"/>
      <c r="G44" s="10"/>
      <c r="H44" s="9"/>
      <c r="I44" s="11" t="str">
        <f t="shared" si="2"/>
        <v/>
      </c>
      <c r="J44" s="12" t="str">
        <f t="shared" si="3"/>
        <v/>
      </c>
    </row>
    <row r="45" spans="1:10" ht="33.75" customHeight="1" x14ac:dyDescent="0.35">
      <c r="A45" s="8" t="s">
        <v>162</v>
      </c>
      <c r="B45" s="8" t="s">
        <v>153</v>
      </c>
      <c r="C45" s="8" t="s">
        <v>163</v>
      </c>
      <c r="D45" s="8" t="s">
        <v>164</v>
      </c>
      <c r="E45" s="9"/>
      <c r="F45" s="9"/>
      <c r="G45" s="10"/>
      <c r="H45" s="9"/>
      <c r="I45" s="11" t="str">
        <f t="shared" si="2"/>
        <v/>
      </c>
      <c r="J45" s="12" t="str">
        <f t="shared" si="3"/>
        <v/>
      </c>
    </row>
    <row r="46" spans="1:10" ht="33.75" customHeight="1" x14ac:dyDescent="0.35">
      <c r="A46" s="8" t="s">
        <v>165</v>
      </c>
      <c r="B46" s="8" t="s">
        <v>153</v>
      </c>
      <c r="C46" s="8" t="s">
        <v>166</v>
      </c>
      <c r="D46" s="8" t="s">
        <v>167</v>
      </c>
      <c r="E46" s="9"/>
      <c r="F46" s="9"/>
      <c r="G46" s="10"/>
      <c r="H46" s="9"/>
      <c r="I46" s="11" t="str">
        <f t="shared" si="2"/>
        <v/>
      </c>
      <c r="J46" s="12" t="str">
        <f t="shared" si="3"/>
        <v/>
      </c>
    </row>
    <row r="47" spans="1:10" ht="33.75" customHeight="1" x14ac:dyDescent="0.35">
      <c r="A47" s="8" t="s">
        <v>168</v>
      </c>
      <c r="B47" s="8" t="s">
        <v>169</v>
      </c>
      <c r="C47" s="8" t="s">
        <v>170</v>
      </c>
      <c r="D47" s="8" t="s">
        <v>171</v>
      </c>
      <c r="E47" s="9"/>
      <c r="F47" s="9"/>
      <c r="G47" s="10"/>
      <c r="H47" s="9"/>
      <c r="I47" s="11" t="str">
        <f t="shared" si="2"/>
        <v/>
      </c>
      <c r="J47" s="12" t="str">
        <f t="shared" si="3"/>
        <v/>
      </c>
    </row>
    <row r="48" spans="1:10" ht="33.75" customHeight="1" x14ac:dyDescent="0.35">
      <c r="A48" s="8" t="s">
        <v>172</v>
      </c>
      <c r="B48" s="8" t="s">
        <v>169</v>
      </c>
      <c r="C48" s="8" t="s">
        <v>173</v>
      </c>
      <c r="D48" s="8" t="s">
        <v>174</v>
      </c>
      <c r="E48" s="9"/>
      <c r="F48" s="9"/>
      <c r="G48" s="10"/>
      <c r="H48" s="9"/>
      <c r="I48" s="11" t="str">
        <f t="shared" si="2"/>
        <v/>
      </c>
      <c r="J48" s="12" t="str">
        <f t="shared" si="3"/>
        <v/>
      </c>
    </row>
    <row r="49" spans="1:10" ht="33.75" customHeight="1" x14ac:dyDescent="0.35">
      <c r="A49" s="8" t="s">
        <v>175</v>
      </c>
      <c r="B49" s="8" t="s">
        <v>169</v>
      </c>
      <c r="C49" s="8" t="s">
        <v>176</v>
      </c>
      <c r="D49" s="8" t="s">
        <v>177</v>
      </c>
      <c r="E49" s="9"/>
      <c r="F49" s="9"/>
      <c r="G49" s="10"/>
      <c r="H49" s="9"/>
      <c r="I49" s="11" t="str">
        <f t="shared" si="2"/>
        <v/>
      </c>
      <c r="J49" s="12" t="str">
        <f t="shared" si="3"/>
        <v/>
      </c>
    </row>
    <row r="50" spans="1:10" ht="33.75" customHeight="1" x14ac:dyDescent="0.35">
      <c r="A50" s="8" t="s">
        <v>178</v>
      </c>
      <c r="B50" s="8" t="s">
        <v>169</v>
      </c>
      <c r="C50" s="8" t="s">
        <v>179</v>
      </c>
      <c r="D50" s="8" t="s">
        <v>180</v>
      </c>
      <c r="E50" s="9"/>
      <c r="F50" s="9"/>
      <c r="G50" s="10"/>
      <c r="H50" s="9"/>
      <c r="I50" s="11" t="str">
        <f t="shared" si="2"/>
        <v/>
      </c>
      <c r="J50" s="12" t="str">
        <f t="shared" si="3"/>
        <v/>
      </c>
    </row>
    <row r="51" spans="1:10" ht="33.75" customHeight="1" x14ac:dyDescent="0.35">
      <c r="A51" s="8" t="s">
        <v>181</v>
      </c>
      <c r="B51" s="8" t="s">
        <v>169</v>
      </c>
      <c r="C51" s="8" t="s">
        <v>182</v>
      </c>
      <c r="D51" s="8" t="s">
        <v>183</v>
      </c>
      <c r="E51" s="9"/>
      <c r="F51" s="9"/>
      <c r="G51" s="10"/>
      <c r="H51" s="9"/>
      <c r="I51" s="11" t="str">
        <f t="shared" si="2"/>
        <v/>
      </c>
      <c r="J51" s="12" t="str">
        <f t="shared" si="3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Turalapati</cp:lastModifiedBy>
  <cp:revision>0</cp:revision>
  <dcterms:created xsi:type="dcterms:W3CDTF">2026-09-19T02:36:11Z</dcterms:created>
  <dcterms:modified xsi:type="dcterms:W3CDTF">2026-09-19T04:54:03Z</dcterms:modified>
  <dc:language>en-US</dc:language>
</cp:coreProperties>
</file>